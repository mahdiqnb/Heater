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Workspace\Altium_prjs\My Heater\BOM\"/>
    </mc:Choice>
  </mc:AlternateContent>
  <xr:revisionPtr revIDLastSave="0" documentId="13_ncr:1_{0F1E1FA0-3485-457B-8D5F-8A481A28C8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y Heater" sheetId="1" r:id="rId1"/>
  </sheets>
  <definedNames>
    <definedName name="_xlnm.Print_Titles" localSheetId="0">'My Heater'!$1:$1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2" i="1"/>
  <c r="I45" i="1"/>
  <c r="I46" i="1"/>
  <c r="I48" i="1"/>
  <c r="I49" i="1"/>
  <c r="I50" i="1"/>
  <c r="I3" i="1"/>
  <c r="I2" i="1"/>
  <c r="I51" i="1" l="1"/>
</calcChain>
</file>

<file path=xl/sharedStrings.xml><?xml version="1.0" encoding="utf-8"?>
<sst xmlns="http://schemas.openxmlformats.org/spreadsheetml/2006/main" count="153" uniqueCount="108">
  <si>
    <t>Comment</t>
  </si>
  <si>
    <t>Designator</t>
  </si>
  <si>
    <t>Quantity</t>
  </si>
  <si>
    <t>Price</t>
  </si>
  <si>
    <t xml:space="preserve">Price x Quantity </t>
  </si>
  <si>
    <t xml:space="preserve">Link </t>
  </si>
  <si>
    <t>UNIT PRICE</t>
  </si>
  <si>
    <t>TOTAL</t>
  </si>
  <si>
    <t>AMS1117 3.3V</t>
  </si>
  <si>
    <t>A600</t>
  </si>
  <si>
    <t>lionelectronic</t>
  </si>
  <si>
    <t>Bat54s</t>
  </si>
  <si>
    <t>B100, B101, B102, B103, B104, B106, B107, B108, B109, B110</t>
  </si>
  <si>
    <t>BC817</t>
  </si>
  <si>
    <t>B700, B701, B702</t>
  </si>
  <si>
    <t>Cap 4.7uf 0805</t>
  </si>
  <si>
    <t>C100, C604, C904</t>
  </si>
  <si>
    <t>Cap 100nf 0805</t>
  </si>
  <si>
    <t>C101, C102, C103, C104, C401, C403, C404, C501, C800, C801, C802, C803</t>
  </si>
  <si>
    <t>Cap 10uf 0805</t>
  </si>
  <si>
    <t>C105, C400, C402, C500, C608, C609, C610</t>
  </si>
  <si>
    <t>Cap 10nf 0805</t>
  </si>
  <si>
    <t>C600, C603, C606, C900, C903, C906</t>
  </si>
  <si>
    <t>Cap 220uf 10x10</t>
  </si>
  <si>
    <t>C601, C602, C901, C902, C905, C907</t>
  </si>
  <si>
    <t>Cap 3300uf 6.3X5.6 SMD 10V</t>
  </si>
  <si>
    <t>C605</t>
  </si>
  <si>
    <t>Cap 100uf 6.3X5.6 SMD 10V</t>
  </si>
  <si>
    <t>C607</t>
  </si>
  <si>
    <t>Cap 22uf 1206</t>
  </si>
  <si>
    <t>C908, C909</t>
  </si>
  <si>
    <t>PESD3V3U1UA,115</t>
  </si>
  <si>
    <t>D100, D101, D102, D103, D104, D105, D106, D107, D108, D110</t>
  </si>
  <si>
    <t>BTA16-600CW3G</t>
  </si>
  <si>
    <t>D200, D201</t>
  </si>
  <si>
    <t>INVALID</t>
  </si>
  <si>
    <t>LED Green 0805</t>
  </si>
  <si>
    <t>D600, D902, D903</t>
  </si>
  <si>
    <t>LED Yellow0805</t>
  </si>
  <si>
    <t>D601</t>
  </si>
  <si>
    <t>LED Blue 0805</t>
  </si>
  <si>
    <t>D700, D701, D702, D800, D801, D802, D803</t>
  </si>
  <si>
    <t>LED Red 0805</t>
  </si>
  <si>
    <t>D900, D901</t>
  </si>
  <si>
    <t>ferrite bead 0805</t>
  </si>
  <si>
    <t>F100</t>
  </si>
  <si>
    <t>Inductor 15uh 7.3x6.6</t>
  </si>
  <si>
    <t>I600, I900</t>
  </si>
  <si>
    <t>USB A</t>
  </si>
  <si>
    <t>J100</t>
  </si>
  <si>
    <t>9 PIN XH 2.54mm</t>
  </si>
  <si>
    <t>LCD connector100</t>
  </si>
  <si>
    <t>MutliTurn 100k Ohm Dip</t>
  </si>
  <si>
    <t>M900</t>
  </si>
  <si>
    <t>phoenix 2 pin 5mm</t>
  </si>
  <si>
    <t>P200</t>
  </si>
  <si>
    <t>phoenix 4 pin 5mm</t>
  </si>
  <si>
    <t>P201</t>
  </si>
  <si>
    <t>Resistor 200 Ohm 0805 %</t>
  </si>
  <si>
    <t>R200, R203</t>
  </si>
  <si>
    <t>Res 200 Ohm Dip</t>
  </si>
  <si>
    <t>R201, R202, R204, R205</t>
  </si>
  <si>
    <t>skytech</t>
  </si>
  <si>
    <t>Res 100K Ohm Dip 0.25W</t>
  </si>
  <si>
    <t>R301, R302, R303, R304</t>
  </si>
  <si>
    <t>eshop</t>
  </si>
  <si>
    <t>Res 100 Ohm 0805 %</t>
  </si>
  <si>
    <t>R402, R403, R405</t>
  </si>
  <si>
    <t>Res 330 Ohm 0805 %</t>
  </si>
  <si>
    <t>Resistor 6.8K Ohm 0805 %</t>
  </si>
  <si>
    <t>R600, R901</t>
  </si>
  <si>
    <t>Resistor 2.2K Ohm 0805 %</t>
  </si>
  <si>
    <t>R602</t>
  </si>
  <si>
    <t>Resistor  120 Ohm 0805 5%</t>
  </si>
  <si>
    <t>R700, R703, R706, R801, R803, R806, R811</t>
  </si>
  <si>
    <t>Resistor  10k Ohm 0805 5%</t>
  </si>
  <si>
    <t>Resistor 220 Ohm 0805 %</t>
  </si>
  <si>
    <t>R802, R805, R808, R810</t>
  </si>
  <si>
    <t>Resistor 20K Ohm 0805 %</t>
  </si>
  <si>
    <t>R900</t>
  </si>
  <si>
    <t>Resistor 1.5k Ohm 0805 %</t>
  </si>
  <si>
    <t>R902, R903, R904, R905</t>
  </si>
  <si>
    <t>STM32G070RBT6</t>
  </si>
  <si>
    <t>S100</t>
  </si>
  <si>
    <t>SS34</t>
  </si>
  <si>
    <t>S500, S501, S502, S503, S504, S505, S506, S507, S600, S605, S900</t>
  </si>
  <si>
    <t>Push Button Switch SMD</t>
  </si>
  <si>
    <t>S800, S801, S802, S803</t>
  </si>
  <si>
    <t>ATE1D-2M3-10-Z</t>
  </si>
  <si>
    <t>S903, S904</t>
  </si>
  <si>
    <t>TPS5450DDAR</t>
  </si>
  <si>
    <t>T601, T901</t>
  </si>
  <si>
    <t>MOC3021</t>
  </si>
  <si>
    <t>U200, U201</t>
  </si>
  <si>
    <t>H11AA1</t>
  </si>
  <si>
    <t>U300</t>
  </si>
  <si>
    <t>SHT40-AD1B-R2</t>
  </si>
  <si>
    <t>U400</t>
  </si>
  <si>
    <t>INA826AIDR</t>
  </si>
  <si>
    <t>U401</t>
  </si>
  <si>
    <t>L293D</t>
  </si>
  <si>
    <t>U500</t>
  </si>
  <si>
    <t>6 PIN XH 2.54mm</t>
  </si>
  <si>
    <t>XH100, XH800</t>
  </si>
  <si>
    <t>2 pin XH 2.54mm</t>
  </si>
  <si>
    <t>XH400, XH500, XH501, XH600, XH900, XH901</t>
  </si>
  <si>
    <t>R701, R702, R704, R705, R707, R708,'R800, R804, R807, R809,'R300, R400, R401</t>
  </si>
  <si>
    <t>R404,R601, R603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</si>
</sst>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u/>
      <sz val="12"/>
      <color theme="1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1A3A5C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/>
    <xf numFmtId="0" fontId="3" fillId="0" borderId="0"/>
  </cellStyleXfs>
  <cellXfs count="17">
    <xf numFmtId="0" fontId="0" fillId="0" borderId="0" xfId="0"/>
    <xf numFmtId="0" fontId="0" fillId="2" borderId="0" xfId="0" applyFill="1"/>
    <xf numFmtId="164" fontId="2" fillId="2" borderId="2" xfId="1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/>
    </xf>
    <xf numFmtId="0" fontId="5" fillId="4" borderId="1" xfId="0" quotePrefix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4" borderId="0" xfId="0" applyFill="1"/>
    <xf numFmtId="3" fontId="0" fillId="4" borderId="0" xfId="0" applyNumberFormat="1" applyFill="1"/>
    <xf numFmtId="0" fontId="6" fillId="4" borderId="1" xfId="2" applyFont="1" applyFill="1" applyBorder="1" applyAlignment="1">
      <alignment horizontal="center" vertical="center"/>
    </xf>
    <xf numFmtId="0" fontId="5" fillId="5" borderId="1" xfId="0" quotePrefix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5" borderId="0" xfId="0" applyFill="1"/>
    <xf numFmtId="3" fontId="0" fillId="0" borderId="0" xfId="0" applyNumberFormat="1"/>
    <xf numFmtId="0" fontId="4" fillId="6" borderId="1" xfId="2" applyFont="1" applyFill="1" applyBorder="1" applyAlignment="1">
      <alignment horizontal="center" vertical="center" wrapText="1"/>
    </xf>
    <xf numFmtId="0" fontId="6" fillId="6" borderId="1" xfId="2" applyFont="1" applyFill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ionelectronic.ir/products/2207-XL-2012SURC" TargetMode="External"/><Relationship Id="rId18" Type="http://schemas.openxmlformats.org/officeDocument/2006/relationships/hyperlink" Target="https://lionelectronic.ir/products/5591-TMPC0603H-150MG-D" TargetMode="External"/><Relationship Id="rId26" Type="http://schemas.openxmlformats.org/officeDocument/2006/relationships/hyperlink" Target="https://eshop.eca.ir/&#1605;&#1602;&#1575;&#1608;&#1605;&#1578;-14-&#1608;&#1575;&#1578;/744-&#1605;&#1602;&#1575;&#1608;&#1605;&#1578;-100k-&#1575;&#1607;&#1605;-14w.html" TargetMode="External"/><Relationship Id="rId39" Type="http://schemas.openxmlformats.org/officeDocument/2006/relationships/hyperlink" Target="https://lionelectronic.ir/products/2593-TPS5450DDAR" TargetMode="External"/><Relationship Id="rId21" Type="http://schemas.openxmlformats.org/officeDocument/2006/relationships/hyperlink" Target="https://lionelectronic.ir/products/3239-3296W-1-104" TargetMode="External"/><Relationship Id="rId34" Type="http://schemas.openxmlformats.org/officeDocument/2006/relationships/hyperlink" Target="https://lionelectronic.ir/products/1457-0805W8F2002T5E" TargetMode="External"/><Relationship Id="rId42" Type="http://schemas.openxmlformats.org/officeDocument/2006/relationships/hyperlink" Target="https://lionelectronic.ir/products/4256-2.54mm-6P-ZZ-MS" TargetMode="External"/><Relationship Id="rId7" Type="http://schemas.openxmlformats.org/officeDocument/2006/relationships/hyperlink" Target="https://lionelectronic.ir/products/2788-TCC0805X7R103K500DT" TargetMode="External"/><Relationship Id="rId2" Type="http://schemas.openxmlformats.org/officeDocument/2006/relationships/hyperlink" Target="https://lionelectronic.ir/products/2416-BAT54S" TargetMode="External"/><Relationship Id="rId16" Type="http://schemas.openxmlformats.org/officeDocument/2006/relationships/hyperlink" Target="https://lionelectronic.ir/products/2207-XL-2012SURC" TargetMode="External"/><Relationship Id="rId20" Type="http://schemas.openxmlformats.org/officeDocument/2006/relationships/hyperlink" Target="https://lionelectronic.ir/products/4259-2.54mm-9P-ZZ-MS" TargetMode="External"/><Relationship Id="rId29" Type="http://schemas.openxmlformats.org/officeDocument/2006/relationships/hyperlink" Target="https://lionelectronic.ir/products/1583-0805W8J0682T5E" TargetMode="External"/><Relationship Id="rId41" Type="http://schemas.openxmlformats.org/officeDocument/2006/relationships/hyperlink" Target="https://lionelectronic.ir/products/4468-INA826AIDR" TargetMode="External"/><Relationship Id="rId1" Type="http://schemas.openxmlformats.org/officeDocument/2006/relationships/hyperlink" Target="https://lionelectronic.ir/products/868-AMS1117-3.3" TargetMode="External"/><Relationship Id="rId6" Type="http://schemas.openxmlformats.org/officeDocument/2006/relationships/hyperlink" Target="https://lionelectronic.ir/products/3069-C2012X5R1H106K125AC" TargetMode="External"/><Relationship Id="rId11" Type="http://schemas.openxmlformats.org/officeDocument/2006/relationships/hyperlink" Target="https://lionelectronic.ir/products/1033-C3216X7R1H475K160AC" TargetMode="External"/><Relationship Id="rId24" Type="http://schemas.openxmlformats.org/officeDocument/2006/relationships/hyperlink" Target="https://lionelectronic.ir/products/1409-SCR0805F200R" TargetMode="External"/><Relationship Id="rId32" Type="http://schemas.openxmlformats.org/officeDocument/2006/relationships/hyperlink" Target="https://lionelectronic.ir/products/2426-0805W8F1002T5E" TargetMode="External"/><Relationship Id="rId37" Type="http://schemas.openxmlformats.org/officeDocument/2006/relationships/hyperlink" Target="https://lionelectronic.ir/products/2816-SS34" TargetMode="External"/><Relationship Id="rId40" Type="http://schemas.openxmlformats.org/officeDocument/2006/relationships/hyperlink" Target="https://lionelectronic.ir/products/2536-SHT40-AD1B-R2" TargetMode="External"/><Relationship Id="rId5" Type="http://schemas.openxmlformats.org/officeDocument/2006/relationships/hyperlink" Target="https://lionelectronic.ir/products/2791-CL21B104KBCNNNC" TargetMode="External"/><Relationship Id="rId15" Type="http://schemas.openxmlformats.org/officeDocument/2006/relationships/hyperlink" Target="https://lionelectronic.ir/products/2207-XL-2012SURC" TargetMode="External"/><Relationship Id="rId23" Type="http://schemas.openxmlformats.org/officeDocument/2006/relationships/hyperlink" Target="https://lionelectronic.ir/products/6051-KF2EDGR%2BK-5.08-4P" TargetMode="External"/><Relationship Id="rId28" Type="http://schemas.openxmlformats.org/officeDocument/2006/relationships/hyperlink" Target="https://lionelectronic.ir/products/1414-SER0805F330R" TargetMode="External"/><Relationship Id="rId36" Type="http://schemas.openxmlformats.org/officeDocument/2006/relationships/hyperlink" Target="https://lionelectronic.ir/products/2544-STM32G070RBT6" TargetMode="External"/><Relationship Id="rId10" Type="http://schemas.openxmlformats.org/officeDocument/2006/relationships/hyperlink" Target="https://lionelectronic.ir/products/6377-HV1H107M1010PZ" TargetMode="External"/><Relationship Id="rId19" Type="http://schemas.openxmlformats.org/officeDocument/2006/relationships/hyperlink" Target="https://lionelectronic.ir/products/4122-AF90CBJ" TargetMode="External"/><Relationship Id="rId31" Type="http://schemas.openxmlformats.org/officeDocument/2006/relationships/hyperlink" Target="https://lionelectronic.ir/products/1562-0805W8J0121T5E" TargetMode="External"/><Relationship Id="rId44" Type="http://schemas.openxmlformats.org/officeDocument/2006/relationships/hyperlink" Target="https://lionelectronic.ir/products/5474-KTSC-61Y-" TargetMode="External"/><Relationship Id="rId4" Type="http://schemas.openxmlformats.org/officeDocument/2006/relationships/hyperlink" Target="https://lionelectronic.ir/products/3734-CL21A475KBQNNNE" TargetMode="External"/><Relationship Id="rId9" Type="http://schemas.openxmlformats.org/officeDocument/2006/relationships/hyperlink" Target="https://lionelectronic.ir/products/3016-VZH221M1HTR-1010" TargetMode="External"/><Relationship Id="rId14" Type="http://schemas.openxmlformats.org/officeDocument/2006/relationships/hyperlink" Target="https://lionelectronic.ir/products/2207-XL-2012SURC" TargetMode="External"/><Relationship Id="rId22" Type="http://schemas.openxmlformats.org/officeDocument/2006/relationships/hyperlink" Target="https://lionelectronic.ir/products/6049-KF2EDGR%2BK-5.08-2P" TargetMode="External"/><Relationship Id="rId27" Type="http://schemas.openxmlformats.org/officeDocument/2006/relationships/hyperlink" Target="https://lionelectronic.ir/products/1561-RS-05K101JT" TargetMode="External"/><Relationship Id="rId30" Type="http://schemas.openxmlformats.org/officeDocument/2006/relationships/hyperlink" Target="https://lionelectronic.ir/products/1577-0805W8J0222T5E" TargetMode="External"/><Relationship Id="rId35" Type="http://schemas.openxmlformats.org/officeDocument/2006/relationships/hyperlink" Target="https://lionelectronic.ir/products/1575-SER0805J1K5" TargetMode="External"/><Relationship Id="rId43" Type="http://schemas.openxmlformats.org/officeDocument/2006/relationships/hyperlink" Target="https://lionelectronic.ir/products/4252-2.54mm-2P-ZZ-MS" TargetMode="External"/><Relationship Id="rId8" Type="http://schemas.openxmlformats.org/officeDocument/2006/relationships/hyperlink" Target="https://lionelectronic.ir/products/3016-VZH221M1HTR-1010" TargetMode="External"/><Relationship Id="rId3" Type="http://schemas.openxmlformats.org/officeDocument/2006/relationships/hyperlink" Target="https://lionelectronic.ir/products/134-BC817-40" TargetMode="External"/><Relationship Id="rId12" Type="http://schemas.openxmlformats.org/officeDocument/2006/relationships/hyperlink" Target="https://lionelectronic.ir/products/6714-SD03C" TargetMode="External"/><Relationship Id="rId17" Type="http://schemas.openxmlformats.org/officeDocument/2006/relationships/hyperlink" Target="https://lionelectronic.ir/products/4142-BLM21AG102SN1D" TargetMode="External"/><Relationship Id="rId25" Type="http://schemas.openxmlformats.org/officeDocument/2006/relationships/hyperlink" Target="https://www.skytech.ir/product_details.aspx?ID_Parts=27167&amp;200-OHM-RESISTOR" TargetMode="External"/><Relationship Id="rId33" Type="http://schemas.openxmlformats.org/officeDocument/2006/relationships/hyperlink" Target="https://lionelectronic.ir/products/1410-SER0805F220R" TargetMode="External"/><Relationship Id="rId38" Type="http://schemas.openxmlformats.org/officeDocument/2006/relationships/hyperlink" Target="https://lionelectronic.ir/products/4096-TS66125T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A29" workbookViewId="0">
      <selection activeCell="G48" sqref="G48"/>
    </sheetView>
  </sheetViews>
  <sheetFormatPr defaultRowHeight="14.4" x14ac:dyDescent="0.3"/>
  <cols>
    <col min="1" max="1" width="22.5546875" customWidth="1"/>
    <col min="2" max="3" width="19" customWidth="1"/>
    <col min="6" max="6" width="22.6640625" customWidth="1"/>
    <col min="7" max="7" width="16.5546875" customWidth="1"/>
    <col min="8" max="8" width="15.44140625" customWidth="1"/>
    <col min="9" max="9" width="18.5546875" customWidth="1"/>
  </cols>
  <sheetData>
    <row r="1" spans="1:9" s="1" customFormat="1" ht="19.8" customHeight="1" x14ac:dyDescent="0.3">
      <c r="A1" s="4" t="s">
        <v>0</v>
      </c>
      <c r="B1" s="4" t="s">
        <v>1</v>
      </c>
      <c r="C1" s="4" t="s">
        <v>2</v>
      </c>
      <c r="E1" s="2" t="s">
        <v>3</v>
      </c>
      <c r="F1" s="2" t="s">
        <v>4</v>
      </c>
      <c r="G1" s="3" t="s">
        <v>5</v>
      </c>
      <c r="H1" s="5" t="s">
        <v>6</v>
      </c>
      <c r="I1" s="5" t="s">
        <v>7</v>
      </c>
    </row>
    <row r="2" spans="1:9" ht="15.6" customHeight="1" x14ac:dyDescent="0.3">
      <c r="A2" s="6" t="s">
        <v>8</v>
      </c>
      <c r="B2" s="6" t="s">
        <v>9</v>
      </c>
      <c r="C2" s="7">
        <v>1</v>
      </c>
      <c r="D2" s="8"/>
      <c r="E2" s="7"/>
      <c r="F2" s="7"/>
      <c r="G2" s="15" t="s">
        <v>10</v>
      </c>
      <c r="H2" s="9">
        <v>180699</v>
      </c>
      <c r="I2" s="9">
        <f>H2*C2</f>
        <v>180699</v>
      </c>
    </row>
    <row r="3" spans="1:9" ht="15.6" customHeight="1" x14ac:dyDescent="0.3">
      <c r="A3" s="6" t="s">
        <v>11</v>
      </c>
      <c r="B3" s="6" t="s">
        <v>12</v>
      </c>
      <c r="C3" s="7">
        <v>10</v>
      </c>
      <c r="D3" s="8"/>
      <c r="E3" s="7"/>
      <c r="F3" s="7"/>
      <c r="G3" s="15" t="s">
        <v>10</v>
      </c>
      <c r="H3" s="9">
        <v>99477</v>
      </c>
      <c r="I3" s="9">
        <f>H3*C3</f>
        <v>994770</v>
      </c>
    </row>
    <row r="4" spans="1:9" ht="15.6" customHeight="1" x14ac:dyDescent="0.3">
      <c r="A4" s="6" t="s">
        <v>13</v>
      </c>
      <c r="B4" s="6" t="s">
        <v>14</v>
      </c>
      <c r="C4" s="7">
        <v>3</v>
      </c>
      <c r="D4" s="8"/>
      <c r="E4" s="7"/>
      <c r="F4" s="7"/>
      <c r="G4" s="15" t="s">
        <v>10</v>
      </c>
      <c r="H4" s="9">
        <v>39465</v>
      </c>
      <c r="I4" s="9">
        <f t="shared" ref="I4:I50" si="0">H4*C4</f>
        <v>118395</v>
      </c>
    </row>
    <row r="5" spans="1:9" ht="15.6" customHeight="1" x14ac:dyDescent="0.3">
      <c r="A5" s="6" t="s">
        <v>15</v>
      </c>
      <c r="B5" s="6" t="s">
        <v>16</v>
      </c>
      <c r="C5" s="7">
        <v>3</v>
      </c>
      <c r="D5" s="8"/>
      <c r="E5" s="7"/>
      <c r="F5" s="7"/>
      <c r="G5" s="15" t="s">
        <v>10</v>
      </c>
      <c r="H5" s="9">
        <v>51156</v>
      </c>
      <c r="I5" s="9">
        <f t="shared" si="0"/>
        <v>153468</v>
      </c>
    </row>
    <row r="6" spans="1:9" ht="15.6" customHeight="1" x14ac:dyDescent="0.3">
      <c r="A6" s="6" t="s">
        <v>17</v>
      </c>
      <c r="B6" s="6" t="s">
        <v>18</v>
      </c>
      <c r="C6" s="7">
        <v>12</v>
      </c>
      <c r="D6" s="8"/>
      <c r="E6" s="7"/>
      <c r="F6" s="7"/>
      <c r="G6" s="15" t="s">
        <v>10</v>
      </c>
      <c r="H6" s="9">
        <v>16656</v>
      </c>
      <c r="I6" s="9">
        <f t="shared" si="0"/>
        <v>199872</v>
      </c>
    </row>
    <row r="7" spans="1:9" ht="15.6" customHeight="1" x14ac:dyDescent="0.3">
      <c r="A7" s="6" t="s">
        <v>19</v>
      </c>
      <c r="B7" s="6" t="s">
        <v>20</v>
      </c>
      <c r="C7" s="7">
        <v>7</v>
      </c>
      <c r="D7" s="8"/>
      <c r="E7" s="7"/>
      <c r="F7" s="7"/>
      <c r="G7" s="15" t="s">
        <v>10</v>
      </c>
      <c r="H7" s="9">
        <v>130305</v>
      </c>
      <c r="I7" s="9">
        <f t="shared" si="0"/>
        <v>912135</v>
      </c>
    </row>
    <row r="8" spans="1:9" ht="15.6" customHeight="1" x14ac:dyDescent="0.3">
      <c r="A8" s="6" t="s">
        <v>21</v>
      </c>
      <c r="B8" s="6" t="s">
        <v>22</v>
      </c>
      <c r="C8" s="7">
        <v>6</v>
      </c>
      <c r="D8" s="8"/>
      <c r="E8" s="7"/>
      <c r="F8" s="7"/>
      <c r="G8" s="15" t="s">
        <v>10</v>
      </c>
      <c r="H8" s="9">
        <v>7350</v>
      </c>
      <c r="I8" s="9">
        <f t="shared" si="0"/>
        <v>44100</v>
      </c>
    </row>
    <row r="9" spans="1:9" x14ac:dyDescent="0.3">
      <c r="A9" s="6" t="s">
        <v>23</v>
      </c>
      <c r="B9" s="6" t="s">
        <v>24</v>
      </c>
      <c r="C9" s="7">
        <v>6</v>
      </c>
      <c r="D9" s="8"/>
      <c r="E9" s="7"/>
      <c r="F9" s="7"/>
      <c r="G9" s="16" t="s">
        <v>10</v>
      </c>
      <c r="H9" s="9">
        <v>267510</v>
      </c>
      <c r="I9" s="9">
        <f t="shared" si="0"/>
        <v>1605060</v>
      </c>
    </row>
    <row r="10" spans="1:9" x14ac:dyDescent="0.3">
      <c r="A10" s="6" t="s">
        <v>25</v>
      </c>
      <c r="B10" s="6" t="s">
        <v>26</v>
      </c>
      <c r="C10" s="7">
        <v>1</v>
      </c>
      <c r="D10" s="8"/>
      <c r="E10" s="7"/>
      <c r="F10" s="7"/>
      <c r="G10" s="16" t="s">
        <v>10</v>
      </c>
      <c r="H10" s="9">
        <v>267510</v>
      </c>
      <c r="I10" s="9">
        <f t="shared" si="0"/>
        <v>267510</v>
      </c>
    </row>
    <row r="11" spans="1:9" x14ac:dyDescent="0.3">
      <c r="A11" s="6" t="s">
        <v>27</v>
      </c>
      <c r="B11" s="6" t="s">
        <v>28</v>
      </c>
      <c r="C11" s="7">
        <v>1</v>
      </c>
      <c r="D11" s="8"/>
      <c r="E11" s="7"/>
      <c r="F11" s="7"/>
      <c r="G11" s="16" t="s">
        <v>10</v>
      </c>
      <c r="H11" s="9">
        <v>410211</v>
      </c>
      <c r="I11" s="9">
        <f t="shared" si="0"/>
        <v>410211</v>
      </c>
    </row>
    <row r="12" spans="1:9" x14ac:dyDescent="0.3">
      <c r="A12" s="6" t="s">
        <v>29</v>
      </c>
      <c r="B12" s="6" t="s">
        <v>30</v>
      </c>
      <c r="C12" s="7">
        <v>2</v>
      </c>
      <c r="D12" s="8"/>
      <c r="E12" s="7"/>
      <c r="F12" s="7"/>
      <c r="G12" s="16" t="s">
        <v>10</v>
      </c>
      <c r="H12" s="9">
        <v>102150</v>
      </c>
      <c r="I12" s="9">
        <f t="shared" si="0"/>
        <v>204300</v>
      </c>
    </row>
    <row r="13" spans="1:9" x14ac:dyDescent="0.3">
      <c r="A13" s="6" t="s">
        <v>31</v>
      </c>
      <c r="B13" s="6" t="s">
        <v>32</v>
      </c>
      <c r="C13" s="7">
        <v>10</v>
      </c>
      <c r="D13" s="8"/>
      <c r="E13" s="7"/>
      <c r="F13" s="7"/>
      <c r="G13" s="16" t="s">
        <v>10</v>
      </c>
      <c r="H13" s="9">
        <v>20274</v>
      </c>
      <c r="I13" s="9">
        <f t="shared" si="0"/>
        <v>202740</v>
      </c>
    </row>
    <row r="14" spans="1:9" x14ac:dyDescent="0.3">
      <c r="A14" s="11" t="s">
        <v>33</v>
      </c>
      <c r="B14" s="11" t="s">
        <v>34</v>
      </c>
      <c r="C14" s="12">
        <v>2</v>
      </c>
      <c r="D14" s="13"/>
      <c r="E14" s="12"/>
      <c r="F14" s="12"/>
      <c r="G14" s="12"/>
      <c r="H14" s="13" t="s">
        <v>35</v>
      </c>
      <c r="I14" s="9">
        <v>0</v>
      </c>
    </row>
    <row r="15" spans="1:9" ht="15.6" customHeight="1" x14ac:dyDescent="0.3">
      <c r="A15" s="6" t="s">
        <v>36</v>
      </c>
      <c r="B15" s="6" t="s">
        <v>37</v>
      </c>
      <c r="C15" s="7">
        <v>3</v>
      </c>
      <c r="D15" s="8"/>
      <c r="E15" s="7"/>
      <c r="F15" s="7"/>
      <c r="G15" s="15" t="s">
        <v>10</v>
      </c>
      <c r="H15" s="9">
        <v>9458</v>
      </c>
      <c r="I15" s="9">
        <f t="shared" si="0"/>
        <v>28374</v>
      </c>
    </row>
    <row r="16" spans="1:9" ht="15.6" customHeight="1" x14ac:dyDescent="0.3">
      <c r="A16" s="6" t="s">
        <v>38</v>
      </c>
      <c r="B16" s="6" t="s">
        <v>39</v>
      </c>
      <c r="C16" s="7">
        <v>1</v>
      </c>
      <c r="D16" s="8"/>
      <c r="E16" s="7"/>
      <c r="F16" s="7"/>
      <c r="G16" s="15" t="s">
        <v>10</v>
      </c>
      <c r="H16" s="9">
        <v>9458</v>
      </c>
      <c r="I16" s="9">
        <f t="shared" si="0"/>
        <v>9458</v>
      </c>
    </row>
    <row r="17" spans="1:9" ht="15.6" customHeight="1" x14ac:dyDescent="0.3">
      <c r="A17" s="6" t="s">
        <v>40</v>
      </c>
      <c r="B17" s="6" t="s">
        <v>41</v>
      </c>
      <c r="C17" s="7">
        <v>7</v>
      </c>
      <c r="D17" s="8"/>
      <c r="E17" s="7"/>
      <c r="F17" s="7"/>
      <c r="G17" s="15" t="s">
        <v>10</v>
      </c>
      <c r="H17" s="9">
        <v>9458</v>
      </c>
      <c r="I17" s="9">
        <f t="shared" si="0"/>
        <v>66206</v>
      </c>
    </row>
    <row r="18" spans="1:9" ht="15.6" customHeight="1" x14ac:dyDescent="0.3">
      <c r="A18" s="6" t="s">
        <v>42</v>
      </c>
      <c r="B18" s="6" t="s">
        <v>43</v>
      </c>
      <c r="C18" s="7">
        <v>2</v>
      </c>
      <c r="D18" s="8"/>
      <c r="E18" s="7"/>
      <c r="F18" s="7"/>
      <c r="G18" s="15" t="s">
        <v>10</v>
      </c>
      <c r="H18" s="9">
        <v>9458</v>
      </c>
      <c r="I18" s="9">
        <f t="shared" si="0"/>
        <v>18916</v>
      </c>
    </row>
    <row r="19" spans="1:9" ht="15.6" customHeight="1" x14ac:dyDescent="0.3">
      <c r="A19" s="6" t="s">
        <v>44</v>
      </c>
      <c r="B19" s="6" t="s">
        <v>45</v>
      </c>
      <c r="C19" s="7">
        <v>1</v>
      </c>
      <c r="D19" s="8"/>
      <c r="E19" s="7"/>
      <c r="F19" s="7"/>
      <c r="G19" s="15" t="s">
        <v>10</v>
      </c>
      <c r="H19" s="9">
        <v>33552</v>
      </c>
      <c r="I19" s="9">
        <f t="shared" si="0"/>
        <v>33552</v>
      </c>
    </row>
    <row r="20" spans="1:9" ht="15.6" customHeight="1" x14ac:dyDescent="0.3">
      <c r="A20" s="6" t="s">
        <v>46</v>
      </c>
      <c r="B20" s="6" t="s">
        <v>47</v>
      </c>
      <c r="C20" s="7">
        <v>2</v>
      </c>
      <c r="D20" s="8"/>
      <c r="E20" s="7"/>
      <c r="F20" s="7"/>
      <c r="G20" s="15" t="s">
        <v>10</v>
      </c>
      <c r="H20" s="9">
        <v>216225</v>
      </c>
      <c r="I20" s="9">
        <f t="shared" si="0"/>
        <v>432450</v>
      </c>
    </row>
    <row r="21" spans="1:9" x14ac:dyDescent="0.3">
      <c r="A21" s="6" t="s">
        <v>48</v>
      </c>
      <c r="B21" s="6" t="s">
        <v>49</v>
      </c>
      <c r="C21" s="7">
        <v>1</v>
      </c>
      <c r="D21" s="8"/>
      <c r="E21" s="7"/>
      <c r="F21" s="7"/>
      <c r="G21" s="16" t="s">
        <v>10</v>
      </c>
      <c r="H21" s="9">
        <v>121500</v>
      </c>
      <c r="I21" s="9">
        <f t="shared" si="0"/>
        <v>121500</v>
      </c>
    </row>
    <row r="22" spans="1:9" x14ac:dyDescent="0.3">
      <c r="A22" s="6" t="s">
        <v>50</v>
      </c>
      <c r="B22" s="6" t="s">
        <v>51</v>
      </c>
      <c r="C22" s="7">
        <v>1</v>
      </c>
      <c r="D22" s="8"/>
      <c r="E22" s="7"/>
      <c r="F22" s="7"/>
      <c r="G22" s="16" t="s">
        <v>10</v>
      </c>
      <c r="H22" s="9">
        <v>87330</v>
      </c>
      <c r="I22" s="9">
        <f t="shared" si="0"/>
        <v>87330</v>
      </c>
    </row>
    <row r="23" spans="1:9" x14ac:dyDescent="0.3">
      <c r="A23" s="6" t="s">
        <v>52</v>
      </c>
      <c r="B23" s="6" t="s">
        <v>53</v>
      </c>
      <c r="C23" s="7">
        <v>1</v>
      </c>
      <c r="D23" s="8"/>
      <c r="E23" s="7"/>
      <c r="F23" s="7"/>
      <c r="G23" s="16" t="s">
        <v>10</v>
      </c>
      <c r="H23" s="9">
        <v>1018350</v>
      </c>
      <c r="I23" s="9">
        <f t="shared" si="0"/>
        <v>1018350</v>
      </c>
    </row>
    <row r="24" spans="1:9" x14ac:dyDescent="0.3">
      <c r="A24" s="6" t="s">
        <v>54</v>
      </c>
      <c r="B24" s="6" t="s">
        <v>55</v>
      </c>
      <c r="C24" s="7">
        <v>1</v>
      </c>
      <c r="D24" s="8"/>
      <c r="E24" s="7"/>
      <c r="F24" s="7"/>
      <c r="G24" s="16" t="s">
        <v>10</v>
      </c>
      <c r="H24" s="9">
        <v>158914</v>
      </c>
      <c r="I24" s="9">
        <f t="shared" si="0"/>
        <v>158914</v>
      </c>
    </row>
    <row r="25" spans="1:9" x14ac:dyDescent="0.3">
      <c r="A25" s="6" t="s">
        <v>56</v>
      </c>
      <c r="B25" s="6" t="s">
        <v>57</v>
      </c>
      <c r="C25" s="7">
        <v>1</v>
      </c>
      <c r="D25" s="8"/>
      <c r="E25" s="7"/>
      <c r="F25" s="7"/>
      <c r="G25" s="16" t="s">
        <v>10</v>
      </c>
      <c r="H25" s="9">
        <v>304436</v>
      </c>
      <c r="I25" s="9">
        <f t="shared" si="0"/>
        <v>304436</v>
      </c>
    </row>
    <row r="26" spans="1:9" x14ac:dyDescent="0.3">
      <c r="A26" s="6" t="s">
        <v>58</v>
      </c>
      <c r="B26" s="6" t="s">
        <v>59</v>
      </c>
      <c r="C26" s="7">
        <v>2</v>
      </c>
      <c r="D26" s="8"/>
      <c r="E26" s="7"/>
      <c r="F26" s="7"/>
      <c r="G26" s="16" t="s">
        <v>10</v>
      </c>
      <c r="H26" s="9">
        <v>3118</v>
      </c>
      <c r="I26" s="9">
        <f t="shared" si="0"/>
        <v>6236</v>
      </c>
    </row>
    <row r="27" spans="1:9" x14ac:dyDescent="0.3">
      <c r="A27" s="6" t="s">
        <v>60</v>
      </c>
      <c r="B27" s="6" t="s">
        <v>61</v>
      </c>
      <c r="C27" s="7">
        <v>4</v>
      </c>
      <c r="D27" s="8"/>
      <c r="E27" s="7"/>
      <c r="F27" s="7"/>
      <c r="G27" s="16" t="s">
        <v>62</v>
      </c>
      <c r="H27" s="9">
        <v>4779</v>
      </c>
      <c r="I27" s="9">
        <f t="shared" si="0"/>
        <v>19116</v>
      </c>
    </row>
    <row r="28" spans="1:9" x14ac:dyDescent="0.3">
      <c r="A28" s="6" t="s">
        <v>63</v>
      </c>
      <c r="B28" s="6" t="s">
        <v>64</v>
      </c>
      <c r="C28" s="7">
        <v>4</v>
      </c>
      <c r="D28" s="8"/>
      <c r="E28" s="7"/>
      <c r="F28" s="7"/>
      <c r="G28" s="16" t="s">
        <v>65</v>
      </c>
      <c r="H28" s="9">
        <v>3400</v>
      </c>
      <c r="I28" s="9">
        <f t="shared" si="0"/>
        <v>13600</v>
      </c>
    </row>
    <row r="29" spans="1:9" ht="15.6" customHeight="1" x14ac:dyDescent="0.3">
      <c r="A29" s="6" t="s">
        <v>66</v>
      </c>
      <c r="B29" s="6" t="s">
        <v>67</v>
      </c>
      <c r="C29" s="7">
        <v>3</v>
      </c>
      <c r="D29" s="8"/>
      <c r="E29" s="7"/>
      <c r="F29" s="7"/>
      <c r="G29" s="15" t="s">
        <v>10</v>
      </c>
      <c r="H29" s="9">
        <v>2955</v>
      </c>
      <c r="I29" s="9">
        <f t="shared" si="0"/>
        <v>8865</v>
      </c>
    </row>
    <row r="30" spans="1:9" x14ac:dyDescent="0.3">
      <c r="A30" s="6" t="s">
        <v>68</v>
      </c>
      <c r="B30" s="6" t="s">
        <v>107</v>
      </c>
      <c r="C30" s="7">
        <v>3</v>
      </c>
      <c r="D30" s="8"/>
      <c r="E30" s="7"/>
      <c r="F30" s="7"/>
      <c r="G30" s="16" t="s">
        <v>10</v>
      </c>
      <c r="H30" s="9">
        <v>3118</v>
      </c>
      <c r="I30" s="9">
        <f t="shared" si="0"/>
        <v>9354</v>
      </c>
    </row>
    <row r="31" spans="1:9" ht="15.6" customHeight="1" x14ac:dyDescent="0.3">
      <c r="A31" s="6" t="s">
        <v>69</v>
      </c>
      <c r="B31" s="6" t="s">
        <v>70</v>
      </c>
      <c r="C31" s="7">
        <v>2</v>
      </c>
      <c r="D31" s="8"/>
      <c r="E31" s="7"/>
      <c r="F31" s="7"/>
      <c r="G31" s="15" t="s">
        <v>10</v>
      </c>
      <c r="H31" s="9">
        <v>2955</v>
      </c>
      <c r="I31" s="9">
        <f t="shared" si="0"/>
        <v>5910</v>
      </c>
    </row>
    <row r="32" spans="1:9" ht="15.6" customHeight="1" x14ac:dyDescent="0.3">
      <c r="A32" s="6" t="s">
        <v>71</v>
      </c>
      <c r="B32" s="6" t="s">
        <v>72</v>
      </c>
      <c r="C32" s="7">
        <v>1</v>
      </c>
      <c r="D32" s="8"/>
      <c r="E32" s="7"/>
      <c r="F32" s="7"/>
      <c r="G32" s="15" t="s">
        <v>10</v>
      </c>
      <c r="H32" s="9">
        <v>2955</v>
      </c>
      <c r="I32" s="9">
        <f t="shared" si="0"/>
        <v>2955</v>
      </c>
    </row>
    <row r="33" spans="1:9" ht="15.6" customHeight="1" x14ac:dyDescent="0.3">
      <c r="A33" s="6" t="s">
        <v>73</v>
      </c>
      <c r="B33" s="6" t="s">
        <v>74</v>
      </c>
      <c r="C33" s="7">
        <v>7</v>
      </c>
      <c r="D33" s="8"/>
      <c r="E33" s="7"/>
      <c r="F33" s="7"/>
      <c r="G33" s="15" t="s">
        <v>10</v>
      </c>
      <c r="H33" s="9">
        <v>2955</v>
      </c>
      <c r="I33" s="9">
        <f t="shared" si="0"/>
        <v>20685</v>
      </c>
    </row>
    <row r="34" spans="1:9" ht="15.6" customHeight="1" x14ac:dyDescent="0.3">
      <c r="A34" s="6" t="s">
        <v>75</v>
      </c>
      <c r="B34" s="6" t="s">
        <v>106</v>
      </c>
      <c r="C34" s="7">
        <v>13</v>
      </c>
      <c r="D34" s="8"/>
      <c r="E34" s="7"/>
      <c r="F34" s="7"/>
      <c r="G34" s="15" t="s">
        <v>10</v>
      </c>
      <c r="H34" s="9">
        <v>3118</v>
      </c>
      <c r="I34" s="9">
        <f t="shared" si="0"/>
        <v>40534</v>
      </c>
    </row>
    <row r="35" spans="1:9" x14ac:dyDescent="0.3">
      <c r="A35" s="6" t="s">
        <v>76</v>
      </c>
      <c r="B35" s="6" t="s">
        <v>77</v>
      </c>
      <c r="C35" s="7">
        <v>4</v>
      </c>
      <c r="D35" s="8"/>
      <c r="E35" s="7"/>
      <c r="F35" s="7"/>
      <c r="G35" s="16" t="s">
        <v>10</v>
      </c>
      <c r="H35" s="9">
        <v>3118</v>
      </c>
      <c r="I35" s="9">
        <f t="shared" si="0"/>
        <v>12472</v>
      </c>
    </row>
    <row r="36" spans="1:9" x14ac:dyDescent="0.3">
      <c r="A36" s="6" t="s">
        <v>78</v>
      </c>
      <c r="B36" s="6" t="s">
        <v>79</v>
      </c>
      <c r="C36" s="7">
        <v>1</v>
      </c>
      <c r="D36" s="8"/>
      <c r="E36" s="7"/>
      <c r="F36" s="7"/>
      <c r="G36" s="16" t="s">
        <v>10</v>
      </c>
      <c r="H36" s="9">
        <v>3118</v>
      </c>
      <c r="I36" s="9">
        <f t="shared" si="0"/>
        <v>3118</v>
      </c>
    </row>
    <row r="37" spans="1:9" x14ac:dyDescent="0.3">
      <c r="A37" s="6" t="s">
        <v>80</v>
      </c>
      <c r="B37" s="6" t="s">
        <v>81</v>
      </c>
      <c r="C37" s="7">
        <v>4</v>
      </c>
      <c r="D37" s="8"/>
      <c r="E37" s="7"/>
      <c r="F37" s="7"/>
      <c r="G37" s="16" t="s">
        <v>10</v>
      </c>
      <c r="H37" s="9">
        <v>2955</v>
      </c>
      <c r="I37" s="9">
        <f t="shared" si="0"/>
        <v>11820</v>
      </c>
    </row>
    <row r="38" spans="1:9" x14ac:dyDescent="0.3">
      <c r="A38" s="6" t="s">
        <v>82</v>
      </c>
      <c r="B38" s="6" t="s">
        <v>83</v>
      </c>
      <c r="C38" s="7">
        <v>1</v>
      </c>
      <c r="D38" s="8"/>
      <c r="E38" s="7"/>
      <c r="F38" s="7"/>
      <c r="G38" s="16" t="s">
        <v>10</v>
      </c>
      <c r="H38" s="9">
        <v>1861830</v>
      </c>
      <c r="I38" s="9">
        <f t="shared" si="0"/>
        <v>1861830</v>
      </c>
    </row>
    <row r="39" spans="1:9" ht="15.6" customHeight="1" x14ac:dyDescent="0.3">
      <c r="A39" s="6" t="s">
        <v>84</v>
      </c>
      <c r="B39" s="6" t="s">
        <v>85</v>
      </c>
      <c r="C39" s="7">
        <v>11</v>
      </c>
      <c r="D39" s="8"/>
      <c r="E39" s="7"/>
      <c r="F39" s="7"/>
      <c r="G39" s="15" t="s">
        <v>10</v>
      </c>
      <c r="H39" s="9">
        <v>37238</v>
      </c>
      <c r="I39" s="9">
        <f t="shared" si="0"/>
        <v>409618</v>
      </c>
    </row>
    <row r="40" spans="1:9" x14ac:dyDescent="0.3">
      <c r="A40" s="6" t="s">
        <v>86</v>
      </c>
      <c r="B40" s="6" t="s">
        <v>87</v>
      </c>
      <c r="C40" s="7">
        <v>4</v>
      </c>
      <c r="D40" s="8"/>
      <c r="E40" s="7"/>
      <c r="F40" s="7"/>
      <c r="G40" s="16" t="s">
        <v>10</v>
      </c>
      <c r="H40" s="9">
        <v>79650</v>
      </c>
      <c r="I40" s="9">
        <f t="shared" si="0"/>
        <v>318600</v>
      </c>
    </row>
    <row r="41" spans="1:9" x14ac:dyDescent="0.3">
      <c r="A41" s="11" t="s">
        <v>88</v>
      </c>
      <c r="B41" s="11" t="s">
        <v>89</v>
      </c>
      <c r="C41" s="12">
        <v>2</v>
      </c>
      <c r="D41" s="13"/>
      <c r="E41" s="12"/>
      <c r="F41" s="12"/>
      <c r="G41" s="12"/>
      <c r="H41" s="13" t="s">
        <v>35</v>
      </c>
      <c r="I41" s="9">
        <v>0</v>
      </c>
    </row>
    <row r="42" spans="1:9" ht="15.6" customHeight="1" x14ac:dyDescent="0.3">
      <c r="A42" s="6" t="s">
        <v>90</v>
      </c>
      <c r="B42" s="6" t="s">
        <v>91</v>
      </c>
      <c r="C42" s="7">
        <v>2</v>
      </c>
      <c r="D42" s="8"/>
      <c r="E42" s="7"/>
      <c r="F42" s="7"/>
      <c r="G42" s="15" t="s">
        <v>10</v>
      </c>
      <c r="H42" s="9">
        <v>1374912</v>
      </c>
      <c r="I42" s="9">
        <f t="shared" si="0"/>
        <v>2749824</v>
      </c>
    </row>
    <row r="43" spans="1:9" x14ac:dyDescent="0.3">
      <c r="A43" s="11" t="s">
        <v>92</v>
      </c>
      <c r="B43" s="11" t="s">
        <v>93</v>
      </c>
      <c r="C43" s="12">
        <v>2</v>
      </c>
      <c r="D43" s="13"/>
      <c r="E43" s="12"/>
      <c r="F43" s="12"/>
      <c r="G43" s="12"/>
      <c r="H43" s="13" t="s">
        <v>35</v>
      </c>
      <c r="I43" s="9">
        <v>0</v>
      </c>
    </row>
    <row r="44" spans="1:9" x14ac:dyDescent="0.3">
      <c r="A44" s="11" t="s">
        <v>94</v>
      </c>
      <c r="B44" s="11" t="s">
        <v>95</v>
      </c>
      <c r="C44" s="12">
        <v>1</v>
      </c>
      <c r="D44" s="13"/>
      <c r="E44" s="12"/>
      <c r="F44" s="12"/>
      <c r="G44" s="12"/>
      <c r="H44" s="13" t="s">
        <v>35</v>
      </c>
      <c r="I44" s="9">
        <v>0</v>
      </c>
    </row>
    <row r="45" spans="1:9" x14ac:dyDescent="0.3">
      <c r="A45" s="6" t="s">
        <v>96</v>
      </c>
      <c r="B45" s="6" t="s">
        <v>97</v>
      </c>
      <c r="C45" s="7">
        <v>1</v>
      </c>
      <c r="D45" s="8"/>
      <c r="E45" s="7"/>
      <c r="F45" s="7"/>
      <c r="G45" s="16" t="s">
        <v>10</v>
      </c>
      <c r="H45" s="9">
        <v>1381980</v>
      </c>
      <c r="I45" s="9">
        <f t="shared" si="0"/>
        <v>1381980</v>
      </c>
    </row>
    <row r="46" spans="1:9" x14ac:dyDescent="0.3">
      <c r="A46" s="6" t="s">
        <v>98</v>
      </c>
      <c r="B46" s="6" t="s">
        <v>99</v>
      </c>
      <c r="C46" s="7">
        <v>1</v>
      </c>
      <c r="D46" s="8"/>
      <c r="E46" s="7"/>
      <c r="F46" s="7"/>
      <c r="G46" s="16" t="s">
        <v>10</v>
      </c>
      <c r="H46" s="9">
        <v>896850</v>
      </c>
      <c r="I46" s="9">
        <f t="shared" si="0"/>
        <v>896850</v>
      </c>
    </row>
    <row r="47" spans="1:9" x14ac:dyDescent="0.3">
      <c r="A47" s="11" t="s">
        <v>100</v>
      </c>
      <c r="B47" s="11" t="s">
        <v>101</v>
      </c>
      <c r="C47" s="12">
        <v>1</v>
      </c>
      <c r="D47" s="13"/>
      <c r="E47" s="12"/>
      <c r="F47" s="12"/>
      <c r="G47" s="12"/>
      <c r="H47" s="13" t="s">
        <v>35</v>
      </c>
      <c r="I47" s="9">
        <v>0</v>
      </c>
    </row>
    <row r="48" spans="1:9" x14ac:dyDescent="0.3">
      <c r="A48" s="6" t="s">
        <v>102</v>
      </c>
      <c r="B48" s="6" t="s">
        <v>103</v>
      </c>
      <c r="C48" s="7">
        <v>2</v>
      </c>
      <c r="D48" s="8"/>
      <c r="E48" s="7"/>
      <c r="F48" s="7"/>
      <c r="G48" s="10" t="s">
        <v>10</v>
      </c>
      <c r="H48" s="9">
        <v>56420</v>
      </c>
      <c r="I48" s="9">
        <f t="shared" si="0"/>
        <v>112840</v>
      </c>
    </row>
    <row r="49" spans="1:9" x14ac:dyDescent="0.3">
      <c r="A49" s="6" t="s">
        <v>104</v>
      </c>
      <c r="B49" s="6" t="s">
        <v>105</v>
      </c>
      <c r="C49" s="7">
        <v>6</v>
      </c>
      <c r="D49" s="8"/>
      <c r="E49" s="7"/>
      <c r="F49" s="7"/>
      <c r="G49" s="10" t="s">
        <v>10</v>
      </c>
      <c r="H49" s="9">
        <v>24282</v>
      </c>
      <c r="I49" s="9">
        <f t="shared" si="0"/>
        <v>145692</v>
      </c>
    </row>
    <row r="50" spans="1:9" x14ac:dyDescent="0.3">
      <c r="A50" s="7"/>
      <c r="B50" s="7"/>
      <c r="C50" s="7">
        <v>1</v>
      </c>
      <c r="D50" s="8"/>
      <c r="E50" s="7"/>
      <c r="F50" s="7"/>
      <c r="G50" s="10" t="s">
        <v>10</v>
      </c>
      <c r="H50" s="9">
        <v>103095</v>
      </c>
      <c r="I50" s="9">
        <f t="shared" si="0"/>
        <v>103095</v>
      </c>
    </row>
    <row r="51" spans="1:9" x14ac:dyDescent="0.3">
      <c r="I51" s="14">
        <f>SUM(I2:I50)</f>
        <v>15707740</v>
      </c>
    </row>
  </sheetData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5" r:id="rId13" xr:uid="{00000000-0004-0000-0000-00000C000000}"/>
    <hyperlink ref="G16" r:id="rId14" xr:uid="{00000000-0004-0000-0000-00000D000000}"/>
    <hyperlink ref="G17" r:id="rId15" xr:uid="{00000000-0004-0000-0000-00000E000000}"/>
    <hyperlink ref="G18" r:id="rId16" xr:uid="{00000000-0004-0000-0000-00000F000000}"/>
    <hyperlink ref="G19" r:id="rId17" xr:uid="{00000000-0004-0000-0000-000010000000}"/>
    <hyperlink ref="G20" r:id="rId18" xr:uid="{00000000-0004-0000-0000-000011000000}"/>
    <hyperlink ref="G21" r:id="rId19" xr:uid="{00000000-0004-0000-0000-000012000000}"/>
    <hyperlink ref="G22" r:id="rId20" xr:uid="{00000000-0004-0000-0000-000013000000}"/>
    <hyperlink ref="G23" r:id="rId21" xr:uid="{00000000-0004-0000-0000-000014000000}"/>
    <hyperlink ref="G24" r:id="rId22" xr:uid="{00000000-0004-0000-0000-000015000000}"/>
    <hyperlink ref="G25" r:id="rId23" xr:uid="{00000000-0004-0000-0000-000016000000}"/>
    <hyperlink ref="G26" r:id="rId24" xr:uid="{00000000-0004-0000-0000-000017000000}"/>
    <hyperlink ref="G27" r:id="rId25" xr:uid="{00000000-0004-0000-0000-000018000000}"/>
    <hyperlink ref="G28" r:id="rId26" xr:uid="{00000000-0004-0000-0000-00001A000000}"/>
    <hyperlink ref="G29" r:id="rId27" xr:uid="{00000000-0004-0000-0000-00001B000000}"/>
    <hyperlink ref="G30" r:id="rId28" xr:uid="{00000000-0004-0000-0000-00001C000000}"/>
    <hyperlink ref="G31" r:id="rId29" xr:uid="{00000000-0004-0000-0000-00001D000000}"/>
    <hyperlink ref="G32" r:id="rId30" xr:uid="{00000000-0004-0000-0000-00001F000000}"/>
    <hyperlink ref="G33" r:id="rId31" xr:uid="{00000000-0004-0000-0000-000020000000}"/>
    <hyperlink ref="G34" r:id="rId32" xr:uid="{00000000-0004-0000-0000-000021000000}"/>
    <hyperlink ref="G35" r:id="rId33" xr:uid="{00000000-0004-0000-0000-000023000000}"/>
    <hyperlink ref="G36" r:id="rId34" xr:uid="{00000000-0004-0000-0000-000024000000}"/>
    <hyperlink ref="G37" r:id="rId35" xr:uid="{00000000-0004-0000-0000-000025000000}"/>
    <hyperlink ref="G38" r:id="rId36" xr:uid="{00000000-0004-0000-0000-000026000000}"/>
    <hyperlink ref="G39" r:id="rId37" xr:uid="{00000000-0004-0000-0000-000027000000}"/>
    <hyperlink ref="G40" r:id="rId38" xr:uid="{00000000-0004-0000-0000-000028000000}"/>
    <hyperlink ref="G42" r:id="rId39" xr:uid="{00000000-0004-0000-0000-000029000000}"/>
    <hyperlink ref="G45" r:id="rId40" xr:uid="{00000000-0004-0000-0000-00002A000000}"/>
    <hyperlink ref="G46" r:id="rId41" xr:uid="{00000000-0004-0000-0000-00002B000000}"/>
    <hyperlink ref="G48" r:id="rId42" xr:uid="{00000000-0004-0000-0000-00002C000000}"/>
    <hyperlink ref="G49" r:id="rId43" xr:uid="{00000000-0004-0000-0000-00002D000000}"/>
    <hyperlink ref="G50" r:id="rId44" xr:uid="{00000000-0004-0000-0000-00002E000000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My Heater</vt:lpstr>
      <vt:lpstr>'My Heater'!Print_Titles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O_ _O l</dc:creator>
  <cp:lastModifiedBy>l O_ _O l</cp:lastModifiedBy>
  <dcterms:created xsi:type="dcterms:W3CDTF">2026-07-12T08:45:03Z</dcterms:created>
  <dcterms:modified xsi:type="dcterms:W3CDTF">2026-07-13T15:46:16Z</dcterms:modified>
</cp:coreProperties>
</file>